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Inputs" sheetId="1" state="visible" r:id="rId1"/>
    <sheet name="Worst" sheetId="2" state="visible" r:id="rId2"/>
    <sheet name="Expected" sheetId="3" state="visible" r:id="rId3"/>
    <sheet name="Best" sheetId="4" state="visible" r:id="rId4"/>
    <sheet name="Summary" sheetId="5" state="visible" r:id="rId5"/>
    <sheet name="ChartData" sheetId="6" state="visible" r:id="rId6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2"/>
      <scheme val="minor"/>
    </font>
    <font>
      <b val="1"/>
      <sz val="14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6-Month Cumulative Users by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'Summary'!A6</f>
            </strRef>
          </tx>
          <spPr>
            <a:ln w="2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'Summary'!$A$7:$A$9</f>
            </numRef>
          </val>
        </ser>
        <ser>
          <idx val="1"/>
          <order val="1"/>
          <tx>
            <strRef>
              <f>'Summary'!B6</f>
            </strRef>
          </tx>
          <spPr>
            <a:ln w="28000">
              <a:solidFill>
                <a:srgbClr val="0070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'Summary'!$B$7:$B$9</f>
            </numRef>
          </val>
        </ser>
        <ser>
          <idx val="2"/>
          <order val="2"/>
          <tx>
            <strRef>
              <f>'Summary'!C6</f>
            </strRef>
          </tx>
          <spPr>
            <a:ln w="28000">
              <a:solidFill>
                <a:srgbClr val="00B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'Summary'!$C$7:$C$9</f>
            </numRef>
          </val>
        </ser>
        <ser>
          <idx val="3"/>
          <order val="3"/>
          <tx>
            <strRef>
              <f>'Summary'!D6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'Summary'!$D$7:$D$9</f>
            </numRef>
          </val>
        </ser>
        <ser>
          <idx val="4"/>
          <order val="4"/>
          <tx>
            <strRef>
              <f>'Summary'!E6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'Summary'!$E$7:$E$9</f>
            </numRef>
          </val>
        </ser>
        <ser>
          <idx val="5"/>
          <order val="5"/>
          <tx>
            <strRef>
              <f>'Summary'!F6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'Summary'!$F$7:$F$9</f>
            </numRef>
          </val>
        </ser>
        <ser>
          <idx val="6"/>
          <order val="6"/>
          <tx>
            <strRef>
              <f>'Summary'!G6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'Summary'!$B$6:$G$6</f>
            </numRef>
          </cat>
          <val>
            <numRef>
              <f>'Summary'!$G$7:$G$9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Active Users (End of Month) by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'Summary'!A12</f>
            </strRef>
          </tx>
          <spPr>
            <a:ln w="2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'Summary'!$A$13:$A$15</f>
            </numRef>
          </val>
        </ser>
        <ser>
          <idx val="1"/>
          <order val="1"/>
          <tx>
            <strRef>
              <f>'Summary'!B12</f>
            </strRef>
          </tx>
          <spPr>
            <a:ln w="28000">
              <a:solidFill>
                <a:srgbClr val="0070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'Summary'!$B$13:$B$15</f>
            </numRef>
          </val>
        </ser>
        <ser>
          <idx val="2"/>
          <order val="2"/>
          <tx>
            <strRef>
              <f>'Summary'!C12</f>
            </strRef>
          </tx>
          <spPr>
            <a:ln w="28000">
              <a:solidFill>
                <a:srgbClr val="00B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'Summary'!$C$13:$C$15</f>
            </numRef>
          </val>
        </ser>
        <ser>
          <idx val="3"/>
          <order val="3"/>
          <tx>
            <strRef>
              <f>'Summary'!D12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'Summary'!$D$13:$D$15</f>
            </numRef>
          </val>
        </ser>
        <ser>
          <idx val="4"/>
          <order val="4"/>
          <tx>
            <strRef>
              <f>'Summary'!E12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'Summary'!$E$13:$E$15</f>
            </numRef>
          </val>
        </ser>
        <ser>
          <idx val="5"/>
          <order val="5"/>
          <tx>
            <strRef>
              <f>'Summary'!F12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'Summary'!$F$13:$F$15</f>
            </numRef>
          </val>
        </ser>
        <ser>
          <idx val="6"/>
          <order val="6"/>
          <tx>
            <strRef>
              <f>'Summary'!G12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'Summary'!$B$12:$G$12</f>
            </numRef>
          </cat>
          <val>
            <numRef>
              <f>'Summary'!$G$13:$G$15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Active 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Users — Scenario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'ChartData'!A1</f>
            </strRef>
          </tx>
          <spPr>
            <a:ln w="2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'ChartData'!$A$2:$A$7</f>
            </numRef>
          </cat>
          <val>
            <numRef>
              <f>'ChartData'!$A$2:$A$7</f>
            </numRef>
          </val>
        </ser>
        <ser>
          <idx val="1"/>
          <order val="1"/>
          <tx>
            <strRef>
              <f>'ChartData'!B1</f>
            </strRef>
          </tx>
          <spPr>
            <a:ln w="28000">
              <a:solidFill>
                <a:srgbClr val="0070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'ChartData'!$A$2:$A$7</f>
            </numRef>
          </cat>
          <val>
            <numRef>
              <f>'ChartData'!$B$2:$B$7</f>
            </numRef>
          </val>
        </ser>
        <ser>
          <idx val="2"/>
          <order val="2"/>
          <tx>
            <strRef>
              <f>'ChartData'!C1</f>
            </strRef>
          </tx>
          <spPr>
            <a:ln w="28000">
              <a:solidFill>
                <a:srgbClr val="00B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'ChartData'!$A$2:$A$7</f>
            </numRef>
          </cat>
          <val>
            <numRef>
              <f>'ChartData'!$C$2:$C$7</f>
            </numRef>
          </val>
        </ser>
        <ser>
          <idx val="3"/>
          <order val="3"/>
          <tx>
            <strRef>
              <f>'ChartData'!D1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'ChartData'!$A$2:$A$7</f>
            </numRef>
          </cat>
          <val>
            <numRef>
              <f>'ChartData'!$D$2:$D$7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GROWTH MODEL INPUTS</t>
        </is>
      </c>
    </row>
    <row r="3">
      <c r="A3" s="2" t="inlineStr">
        <is>
          <t>Parameter</t>
        </is>
      </c>
      <c r="B3" s="2" t="inlineStr">
        <is>
          <t>Worst</t>
        </is>
      </c>
      <c r="C3" s="2" t="inlineStr">
        <is>
          <t>Expected</t>
        </is>
      </c>
      <c r="D3" s="2" t="inlineStr">
        <is>
          <t>Best</t>
        </is>
      </c>
    </row>
    <row r="5">
      <c r="A5" s="3" t="inlineStr">
        <is>
          <t>QR Flyers</t>
        </is>
      </c>
    </row>
    <row r="6">
      <c r="A6" s="4" t="inlineStr">
        <is>
          <t>Starting users</t>
        </is>
      </c>
      <c r="B6" s="4" t="n">
        <v>20</v>
      </c>
      <c r="C6" s="4" t="n">
        <v>35</v>
      </c>
      <c r="D6" s="4" t="n">
        <v>50</v>
      </c>
    </row>
    <row r="7">
      <c r="A7" s="4" t="inlineStr">
        <is>
          <t>Churn rate</t>
        </is>
      </c>
      <c r="B7" s="4" t="n">
        <v>0.5</v>
      </c>
      <c r="C7" s="4" t="n">
        <v>0.4</v>
      </c>
      <c r="D7" s="4" t="n">
        <v>0.3</v>
      </c>
    </row>
    <row r="8">
      <c r="A8" s="4" t="inlineStr">
        <is>
          <t>New M1</t>
        </is>
      </c>
      <c r="B8" s="4" t="n">
        <v>15</v>
      </c>
      <c r="C8" s="4" t="n">
        <v>30</v>
      </c>
      <c r="D8" s="4" t="n">
        <v>50</v>
      </c>
    </row>
    <row r="9">
      <c r="A9" s="4" t="inlineStr">
        <is>
          <t>New M2</t>
        </is>
      </c>
      <c r="B9" s="4" t="n">
        <v>10</v>
      </c>
      <c r="C9" s="4" t="n">
        <v>25</v>
      </c>
      <c r="D9" s="4" t="n">
        <v>45</v>
      </c>
    </row>
    <row r="10">
      <c r="A10" s="4" t="inlineStr">
        <is>
          <t>New M3</t>
        </is>
      </c>
      <c r="B10" s="4" t="n">
        <v>5</v>
      </c>
      <c r="C10" s="4" t="n">
        <v>20</v>
      </c>
      <c r="D10" s="4" t="n">
        <v>40</v>
      </c>
    </row>
    <row r="11">
      <c r="A11" s="4" t="inlineStr">
        <is>
          <t>New M4</t>
        </is>
      </c>
      <c r="B11" s="4" t="n">
        <v>3</v>
      </c>
      <c r="C11" s="4" t="n">
        <v>15</v>
      </c>
      <c r="D11" s="4" t="n">
        <v>35</v>
      </c>
    </row>
    <row r="12">
      <c r="A12" s="4" t="inlineStr">
        <is>
          <t>New M5</t>
        </is>
      </c>
      <c r="B12" s="4" t="n">
        <v>2</v>
      </c>
      <c r="C12" s="4" t="n">
        <v>12</v>
      </c>
      <c r="D12" s="4" t="n">
        <v>30</v>
      </c>
    </row>
    <row r="13">
      <c r="A13" s="4" t="inlineStr">
        <is>
          <t>New M6</t>
        </is>
      </c>
      <c r="B13" s="4" t="n">
        <v>1</v>
      </c>
      <c r="C13" s="4" t="n">
        <v>10</v>
      </c>
      <c r="D13" s="4" t="n">
        <v>25</v>
      </c>
    </row>
    <row r="15">
      <c r="A15" s="3" t="inlineStr">
        <is>
          <t>Student Groups</t>
        </is>
      </c>
    </row>
    <row r="16">
      <c r="A16" s="4" t="inlineStr">
        <is>
          <t>Starting users</t>
        </is>
      </c>
      <c r="B16" s="4" t="n">
        <v>15</v>
      </c>
      <c r="C16" s="4" t="n">
        <v>30</v>
      </c>
      <c r="D16" s="4" t="n">
        <v>45</v>
      </c>
    </row>
    <row r="17">
      <c r="A17" s="4" t="inlineStr">
        <is>
          <t>Churn rate</t>
        </is>
      </c>
      <c r="B17" s="4" t="n">
        <v>0.55</v>
      </c>
      <c r="C17" s="4" t="n">
        <v>0.45</v>
      </c>
      <c r="D17" s="4" t="n">
        <v>0.35</v>
      </c>
    </row>
    <row r="18">
      <c r="A18" s="4" t="inlineStr">
        <is>
          <t>New M1</t>
        </is>
      </c>
      <c r="B18" s="4" t="n">
        <v>25</v>
      </c>
      <c r="C18" s="4" t="n">
        <v>40</v>
      </c>
      <c r="D18" s="4" t="n">
        <v>60</v>
      </c>
    </row>
    <row r="19">
      <c r="A19" s="4" t="inlineStr">
        <is>
          <t>New M2</t>
        </is>
      </c>
      <c r="B19" s="4" t="n">
        <v>10</v>
      </c>
      <c r="C19" s="4" t="n">
        <v>25</v>
      </c>
      <c r="D19" s="4" t="n">
        <v>40</v>
      </c>
    </row>
    <row r="20">
      <c r="A20" s="4" t="inlineStr">
        <is>
          <t>New M3</t>
        </is>
      </c>
      <c r="B20" s="4" t="n">
        <v>5</v>
      </c>
      <c r="C20" s="4" t="n">
        <v>15</v>
      </c>
      <c r="D20" s="4" t="n">
        <v>30</v>
      </c>
    </row>
    <row r="21">
      <c r="A21" s="4" t="inlineStr">
        <is>
          <t>New M4</t>
        </is>
      </c>
      <c r="B21" s="4" t="n">
        <v>2</v>
      </c>
      <c r="C21" s="4" t="n">
        <v>10</v>
      </c>
      <c r="D21" s="4" t="n">
        <v>20</v>
      </c>
    </row>
    <row r="22">
      <c r="A22" s="4" t="inlineStr">
        <is>
          <t>New M5</t>
        </is>
      </c>
      <c r="B22" s="4" t="n">
        <v>1</v>
      </c>
      <c r="C22" s="4" t="n">
        <v>5</v>
      </c>
      <c r="D22" s="4" t="n">
        <v>15</v>
      </c>
    </row>
    <row r="23">
      <c r="A23" s="4" t="inlineStr">
        <is>
          <t>New M6</t>
        </is>
      </c>
      <c r="B23" s="4" t="n">
        <v>0</v>
      </c>
      <c r="C23" s="4" t="n">
        <v>3</v>
      </c>
      <c r="D23" s="4" t="n">
        <v>10</v>
      </c>
    </row>
    <row r="25">
      <c r="A25" s="3" t="inlineStr">
        <is>
          <t>Referral</t>
        </is>
      </c>
    </row>
    <row r="26">
      <c r="A26" s="4" t="inlineStr">
        <is>
          <t>Starting users</t>
        </is>
      </c>
      <c r="B26" s="4" t="n">
        <v>0</v>
      </c>
      <c r="C26" s="4" t="n">
        <v>0</v>
      </c>
      <c r="D26" s="4" t="n">
        <v>0</v>
      </c>
    </row>
    <row r="27">
      <c r="A27" s="4" t="inlineStr">
        <is>
          <t>Churn rate</t>
        </is>
      </c>
      <c r="B27" s="4" t="n">
        <v>0.4</v>
      </c>
      <c r="C27" s="4" t="n">
        <v>0.3</v>
      </c>
      <c r="D27" s="4" t="n">
        <v>0.2</v>
      </c>
    </row>
    <row r="28">
      <c r="A28" s="4" t="inlineStr">
        <is>
          <t>New M1</t>
        </is>
      </c>
      <c r="B28" s="4" t="n">
        <v>2</v>
      </c>
      <c r="C28" s="4" t="n">
        <v>5</v>
      </c>
      <c r="D28" s="4" t="n">
        <v>10</v>
      </c>
    </row>
    <row r="29">
      <c r="A29" s="4" t="inlineStr">
        <is>
          <t>New M2</t>
        </is>
      </c>
      <c r="B29" s="4" t="n">
        <v>4</v>
      </c>
      <c r="C29" s="4" t="n">
        <v>10</v>
      </c>
      <c r="D29" s="4" t="n">
        <v>25</v>
      </c>
    </row>
    <row r="30">
      <c r="A30" s="4" t="inlineStr">
        <is>
          <t>New M3</t>
        </is>
      </c>
      <c r="B30" s="4" t="n">
        <v>6</v>
      </c>
      <c r="C30" s="4" t="n">
        <v>18</v>
      </c>
      <c r="D30" s="4" t="n">
        <v>45</v>
      </c>
    </row>
    <row r="31">
      <c r="A31" s="4" t="inlineStr">
        <is>
          <t>New M4</t>
        </is>
      </c>
      <c r="B31" s="4" t="n">
        <v>8</v>
      </c>
      <c r="C31" s="4" t="n">
        <v>28</v>
      </c>
      <c r="D31" s="4" t="n">
        <v>70</v>
      </c>
    </row>
    <row r="32">
      <c r="A32" s="4" t="inlineStr">
        <is>
          <t>New M5</t>
        </is>
      </c>
      <c r="B32" s="4" t="n">
        <v>10</v>
      </c>
      <c r="C32" s="4" t="n">
        <v>40</v>
      </c>
      <c r="D32" s="4" t="n">
        <v>100</v>
      </c>
    </row>
    <row r="33">
      <c r="A33" s="4" t="inlineStr">
        <is>
          <t>New M6</t>
        </is>
      </c>
      <c r="B33" s="4" t="n">
        <v>12</v>
      </c>
      <c r="C33" s="4" t="n">
        <v>55</v>
      </c>
      <c r="D33" s="4" t="n">
        <v>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8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2.83203125" customWidth="1" min="6" max="6"/>
    <col width="12.83203125" customWidth="1" min="7" max="7"/>
  </cols>
  <sheetData>
    <row r="1">
      <c r="A1" t="inlineStr">
        <is>
          <t>Worst Case — 6-Month Growth Projection</t>
        </is>
      </c>
    </row>
    <row r="3">
      <c r="A3" t="inlineStr">
        <is>
          <t>Channel: QR Flyers</t>
        </is>
      </c>
    </row>
    <row r="4">
      <c r="A4" t="inlineStr">
        <is>
          <t>Metric</t>
        </is>
      </c>
      <c r="B4" t="inlineStr">
        <is>
          <t>Month 1</t>
        </is>
      </c>
      <c r="C4" t="inlineStr">
        <is>
          <t>Month 2</t>
        </is>
      </c>
      <c r="D4" t="inlineStr">
        <is>
          <t>Month 3</t>
        </is>
      </c>
      <c r="E4" t="inlineStr">
        <is>
          <t>Month 4</t>
        </is>
      </c>
      <c r="F4" t="inlineStr">
        <is>
          <t>Month 5</t>
        </is>
      </c>
      <c r="G4" t="inlineStr">
        <is>
          <t>Month 6</t>
        </is>
      </c>
    </row>
    <row r="5">
      <c r="A5" t="inlineStr">
        <is>
          <t>Starting users</t>
        </is>
      </c>
      <c r="B5">
        <f>Inputs!B6</f>
        <v/>
      </c>
    </row>
    <row r="6">
      <c r="A6" t="inlineStr">
        <is>
          <t>New users (inflow)</t>
        </is>
      </c>
      <c r="B6">
        <f>Inputs!B8</f>
        <v/>
      </c>
      <c r="C6">
        <f>Inputs!B9</f>
        <v/>
      </c>
      <c r="D6">
        <f>Inputs!B10</f>
        <v/>
      </c>
      <c r="E6">
        <f>Inputs!B11</f>
        <v/>
      </c>
      <c r="F6">
        <f>Inputs!B12</f>
        <v/>
      </c>
      <c r="G6">
        <f>Inputs!B13</f>
        <v/>
      </c>
    </row>
    <row r="7">
      <c r="A7" t="inlineStr">
        <is>
          <t>Churned users (outflow = active × churn rate)</t>
        </is>
      </c>
      <c r="B7">
        <f>ROUND(B5*Inputs!B7,0)</f>
        <v/>
      </c>
      <c r="C7">
        <f>ROUND(B8*Inputs!B7,0)</f>
        <v/>
      </c>
      <c r="D7">
        <f>ROUND(C8*Inputs!B7,0)</f>
        <v/>
      </c>
      <c r="E7">
        <f>ROUND(D8*Inputs!B7,0)</f>
        <v/>
      </c>
      <c r="F7">
        <f>ROUND(E8*Inputs!B7,0)</f>
        <v/>
      </c>
      <c r="G7">
        <f>ROUND(F8*Inputs!B7,0)</f>
        <v/>
      </c>
    </row>
    <row r="8">
      <c r="A8" t="inlineStr">
        <is>
          <t>Active users (end of month)</t>
        </is>
      </c>
      <c r="B8">
        <f>B5+B6-B7</f>
        <v/>
      </c>
      <c r="C8">
        <f>B8+C6-C7</f>
        <v/>
      </c>
      <c r="D8">
        <f>C8+D6-D7</f>
        <v/>
      </c>
      <c r="E8">
        <f>D8+E6-E7</f>
        <v/>
      </c>
      <c r="F8">
        <f>E8+F6-F7</f>
        <v/>
      </c>
      <c r="G8">
        <f>F8+G6-G7</f>
        <v/>
      </c>
    </row>
    <row r="9">
      <c r="A9" t="inlineStr">
        <is>
          <t>Cumulative users (all-time)</t>
        </is>
      </c>
      <c r="B9">
        <f>B5+B6</f>
        <v/>
      </c>
      <c r="C9">
        <f>B9+C6</f>
        <v/>
      </c>
      <c r="D9">
        <f>C9+D6</f>
        <v/>
      </c>
      <c r="E9">
        <f>D9+E6</f>
        <v/>
      </c>
      <c r="F9">
        <f>E9+F6</f>
        <v/>
      </c>
      <c r="G9">
        <f>F9+G6</f>
        <v/>
      </c>
    </row>
    <row r="11">
      <c r="A11" t="inlineStr">
        <is>
          <t>Channel: Student Groups</t>
        </is>
      </c>
    </row>
    <row r="12">
      <c r="A12" t="inlineStr">
        <is>
          <t>Metric</t>
        </is>
      </c>
      <c r="B12" t="inlineStr">
        <is>
          <t>Month 1</t>
        </is>
      </c>
      <c r="C12" t="inlineStr">
        <is>
          <t>Month 2</t>
        </is>
      </c>
      <c r="D12" t="inlineStr">
        <is>
          <t>Month 3</t>
        </is>
      </c>
      <c r="E12" t="inlineStr">
        <is>
          <t>Month 4</t>
        </is>
      </c>
      <c r="F12" t="inlineStr">
        <is>
          <t>Month 5</t>
        </is>
      </c>
      <c r="G12" t="inlineStr">
        <is>
          <t>Month 6</t>
        </is>
      </c>
    </row>
    <row r="13">
      <c r="A13" t="inlineStr">
        <is>
          <t>Starting users</t>
        </is>
      </c>
      <c r="B13">
        <f>Inputs!B16</f>
        <v/>
      </c>
    </row>
    <row r="14">
      <c r="A14" t="inlineStr">
        <is>
          <t>New users (inflow)</t>
        </is>
      </c>
      <c r="B14">
        <f>Inputs!B18</f>
        <v/>
      </c>
      <c r="C14">
        <f>Inputs!B19</f>
        <v/>
      </c>
      <c r="D14">
        <f>Inputs!B20</f>
        <v/>
      </c>
      <c r="E14">
        <f>Inputs!B21</f>
        <v/>
      </c>
      <c r="F14">
        <f>Inputs!B22</f>
        <v/>
      </c>
      <c r="G14">
        <f>Inputs!B23</f>
        <v/>
      </c>
    </row>
    <row r="15">
      <c r="A15" t="inlineStr">
        <is>
          <t>Churned users (outflow = active × churn rate)</t>
        </is>
      </c>
      <c r="B15">
        <f>ROUND(B13*Inputs!B17,0)</f>
        <v/>
      </c>
      <c r="C15">
        <f>ROUND(B16*Inputs!B17,0)</f>
        <v/>
      </c>
      <c r="D15">
        <f>ROUND(C16*Inputs!B17,0)</f>
        <v/>
      </c>
      <c r="E15">
        <f>ROUND(D16*Inputs!B17,0)</f>
        <v/>
      </c>
      <c r="F15">
        <f>ROUND(E16*Inputs!B17,0)</f>
        <v/>
      </c>
      <c r="G15">
        <f>ROUND(F16*Inputs!B17,0)</f>
        <v/>
      </c>
    </row>
    <row r="16">
      <c r="A16" t="inlineStr">
        <is>
          <t>Active users (end of month)</t>
        </is>
      </c>
      <c r="B16">
        <f>B13+B14-B15</f>
        <v/>
      </c>
      <c r="C16">
        <f>B16+C14-C15</f>
        <v/>
      </c>
      <c r="D16">
        <f>C16+D14-D15</f>
        <v/>
      </c>
      <c r="E16">
        <f>D16+E14-E15</f>
        <v/>
      </c>
      <c r="F16">
        <f>E16+F14-F15</f>
        <v/>
      </c>
      <c r="G16">
        <f>F16+G14-G15</f>
        <v/>
      </c>
    </row>
    <row r="17">
      <c r="A17" t="inlineStr">
        <is>
          <t>Cumulative users (all-time)</t>
        </is>
      </c>
      <c r="B17">
        <f>B13+B14</f>
        <v/>
      </c>
      <c r="C17">
        <f>B17+C14</f>
        <v/>
      </c>
      <c r="D17">
        <f>C17+D14</f>
        <v/>
      </c>
      <c r="E17">
        <f>D17+E14</f>
        <v/>
      </c>
      <c r="F17">
        <f>E17+F14</f>
        <v/>
      </c>
      <c r="G17">
        <f>F17+G14</f>
        <v/>
      </c>
    </row>
    <row r="19">
      <c r="A19" t="inlineStr">
        <is>
          <t>Channel: Referral</t>
        </is>
      </c>
    </row>
    <row r="20">
      <c r="A20" t="inlineStr">
        <is>
          <t>Metric</t>
        </is>
      </c>
      <c r="B20" t="inlineStr">
        <is>
          <t>Month 1</t>
        </is>
      </c>
      <c r="C20" t="inlineStr">
        <is>
          <t>Month 2</t>
        </is>
      </c>
      <c r="D20" t="inlineStr">
        <is>
          <t>Month 3</t>
        </is>
      </c>
      <c r="E20" t="inlineStr">
        <is>
          <t>Month 4</t>
        </is>
      </c>
      <c r="F20" t="inlineStr">
        <is>
          <t>Month 5</t>
        </is>
      </c>
      <c r="G20" t="inlineStr">
        <is>
          <t>Month 6</t>
        </is>
      </c>
    </row>
    <row r="21">
      <c r="A21" t="inlineStr">
        <is>
          <t>Starting users</t>
        </is>
      </c>
      <c r="B21">
        <f>Inputs!B26</f>
        <v/>
      </c>
    </row>
    <row r="22">
      <c r="A22" t="inlineStr">
        <is>
          <t>New users (inflow)</t>
        </is>
      </c>
      <c r="B22">
        <f>Inputs!B28</f>
        <v/>
      </c>
      <c r="C22">
        <f>Inputs!B29</f>
        <v/>
      </c>
      <c r="D22">
        <f>Inputs!B30</f>
        <v/>
      </c>
      <c r="E22">
        <f>Inputs!B31</f>
        <v/>
      </c>
      <c r="F22">
        <f>Inputs!B32</f>
        <v/>
      </c>
      <c r="G22">
        <f>Inputs!B33</f>
        <v/>
      </c>
    </row>
    <row r="23">
      <c r="A23" t="inlineStr">
        <is>
          <t>Churned users (outflow = active × churn rate)</t>
        </is>
      </c>
      <c r="B23">
        <f>ROUND(B21*Inputs!B27,0)</f>
        <v/>
      </c>
      <c r="C23">
        <f>ROUND(B24*Inputs!B27,0)</f>
        <v/>
      </c>
      <c r="D23">
        <f>ROUND(C24*Inputs!B27,0)</f>
        <v/>
      </c>
      <c r="E23">
        <f>ROUND(D24*Inputs!B27,0)</f>
        <v/>
      </c>
      <c r="F23">
        <f>ROUND(E24*Inputs!B27,0)</f>
        <v/>
      </c>
      <c r="G23">
        <f>ROUND(F24*Inputs!B27,0)</f>
        <v/>
      </c>
    </row>
    <row r="24">
      <c r="A24" t="inlineStr">
        <is>
          <t>Active users (end of month)</t>
        </is>
      </c>
      <c r="B24">
        <f>B21+B22-B23</f>
        <v/>
      </c>
      <c r="C24">
        <f>B24+C22-C23</f>
        <v/>
      </c>
      <c r="D24">
        <f>C24+D22-D23</f>
        <v/>
      </c>
      <c r="E24">
        <f>D24+E22-E23</f>
        <v/>
      </c>
      <c r="F24">
        <f>E24+F22-F23</f>
        <v/>
      </c>
      <c r="G24">
        <f>F24+G22-G23</f>
        <v/>
      </c>
    </row>
    <row r="25">
      <c r="A25" t="inlineStr">
        <is>
          <t>Cumulative users (all-time)</t>
        </is>
      </c>
      <c r="B25">
        <f>B21+B22</f>
        <v/>
      </c>
      <c r="C25">
        <f>B25+C22</f>
        <v/>
      </c>
      <c r="D25">
        <f>C25+D22</f>
        <v/>
      </c>
      <c r="E25">
        <f>D25+E22</f>
        <v/>
      </c>
      <c r="F25">
        <f>E25+F22</f>
        <v/>
      </c>
      <c r="G25">
        <f>F25+G22</f>
        <v/>
      </c>
    </row>
    <row r="27">
      <c r="A27" t="inlineStr">
        <is>
          <t>── GRAND TOTAL ──</t>
        </is>
      </c>
    </row>
    <row r="28">
      <c r="A28" t="inlineStr">
        <is>
          <t>Active users (all channels combined)</t>
        </is>
      </c>
      <c r="B28">
        <f>B8+B16+B24</f>
        <v/>
      </c>
      <c r="C28">
        <f>C8+C16+C24</f>
        <v/>
      </c>
      <c r="D28">
        <f>D8+D16+D24</f>
        <v/>
      </c>
      <c r="E28">
        <f>E8+E16+E24</f>
        <v/>
      </c>
      <c r="F28">
        <f>F8+F16+F24</f>
        <v/>
      </c>
      <c r="G28">
        <f>G8+G16+G24</f>
        <v/>
      </c>
    </row>
    <row r="29">
      <c r="A29" t="inlineStr">
        <is>
          <t>Cumulative users (all channels)</t>
        </is>
      </c>
      <c r="B29">
        <f>B9+B17+B25</f>
        <v/>
      </c>
      <c r="C29">
        <f>C9+C17+C25</f>
        <v/>
      </c>
      <c r="D29">
        <f>D9+D17+D25</f>
        <v/>
      </c>
      <c r="E29">
        <f>E9+E17+E25</f>
        <v/>
      </c>
      <c r="F29">
        <f>F9+F17+F25</f>
        <v/>
      </c>
      <c r="G29">
        <f>G9+G17+G25</f>
        <v/>
      </c>
    </row>
    <row r="31">
      <c r="A31" t="inlineStr">
        <is>
          <t>Conversion Rate Assumptions</t>
        </is>
      </c>
    </row>
    <row r="32">
      <c r="A32" t="inlineStr">
        <is>
          <t>Channel</t>
        </is>
      </c>
      <c r="B32" t="inlineStr">
        <is>
          <t>Monthly Churn Rate</t>
        </is>
      </c>
      <c r="C32" t="inlineStr">
        <is>
          <t>Equivalent Monthly Retention</t>
        </is>
      </c>
    </row>
    <row r="33">
      <c r="A33" t="inlineStr">
        <is>
          <t>QR Flyers</t>
        </is>
      </c>
      <c r="B33">
        <f>Inputs!B7</f>
        <v/>
      </c>
      <c r="C33">
        <f>1-B33</f>
        <v/>
      </c>
    </row>
    <row r="34">
      <c r="A34" t="inlineStr">
        <is>
          <t>Student Groups</t>
        </is>
      </c>
      <c r="B34">
        <f>Inputs!B17</f>
        <v/>
      </c>
      <c r="C34">
        <f>1-B34</f>
        <v/>
      </c>
    </row>
    <row r="35">
      <c r="A35" t="inlineStr">
        <is>
          <t>Referral</t>
        </is>
      </c>
      <c r="B35">
        <f>Inputs!B27</f>
        <v/>
      </c>
      <c r="C35">
        <f>1-B35</f>
        <v/>
      </c>
    </row>
    <row r="37">
      <c r="A37" t="inlineStr">
        <is>
          <t>Note: Conversion rates are modelled as monthly retention = 1 - churn_rate.</t>
        </is>
      </c>
    </row>
    <row r="38">
      <c r="A38" t="inlineStr">
        <is>
          <t>New users added at start of month. Churn applied to active users at end of month.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8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2.83203125" customWidth="1" min="6" max="6"/>
    <col width="12.83203125" customWidth="1" min="7" max="7"/>
  </cols>
  <sheetData>
    <row r="1">
      <c r="A1" t="inlineStr">
        <is>
          <t>Expected Case — 6-Month Growth Projection</t>
        </is>
      </c>
    </row>
    <row r="3">
      <c r="A3" t="inlineStr">
        <is>
          <t>Channel: QR Flyers</t>
        </is>
      </c>
    </row>
    <row r="4">
      <c r="A4" t="inlineStr">
        <is>
          <t>Metric</t>
        </is>
      </c>
      <c r="B4" t="inlineStr">
        <is>
          <t>Month 1</t>
        </is>
      </c>
      <c r="C4" t="inlineStr">
        <is>
          <t>Month 2</t>
        </is>
      </c>
      <c r="D4" t="inlineStr">
        <is>
          <t>Month 3</t>
        </is>
      </c>
      <c r="E4" t="inlineStr">
        <is>
          <t>Month 4</t>
        </is>
      </c>
      <c r="F4" t="inlineStr">
        <is>
          <t>Month 5</t>
        </is>
      </c>
      <c r="G4" t="inlineStr">
        <is>
          <t>Month 6</t>
        </is>
      </c>
    </row>
    <row r="5">
      <c r="A5" t="inlineStr">
        <is>
          <t>Starting users</t>
        </is>
      </c>
      <c r="B5">
        <f>Inputs!C6</f>
        <v/>
      </c>
    </row>
    <row r="6">
      <c r="A6" t="inlineStr">
        <is>
          <t>New users (inflow)</t>
        </is>
      </c>
      <c r="B6">
        <f>Inputs!C8</f>
        <v/>
      </c>
      <c r="C6">
        <f>Inputs!C9</f>
        <v/>
      </c>
      <c r="D6">
        <f>Inputs!C10</f>
        <v/>
      </c>
      <c r="E6">
        <f>Inputs!C11</f>
        <v/>
      </c>
      <c r="F6">
        <f>Inputs!C12</f>
        <v/>
      </c>
      <c r="G6">
        <f>Inputs!C13</f>
        <v/>
      </c>
    </row>
    <row r="7">
      <c r="A7" t="inlineStr">
        <is>
          <t>Churned users (outflow = active × churn rate)</t>
        </is>
      </c>
      <c r="B7">
        <f>ROUND(B5*Inputs!C7,0)</f>
        <v/>
      </c>
      <c r="C7">
        <f>ROUND(B8*Inputs!C7,0)</f>
        <v/>
      </c>
      <c r="D7">
        <f>ROUND(C8*Inputs!C7,0)</f>
        <v/>
      </c>
      <c r="E7">
        <f>ROUND(D8*Inputs!C7,0)</f>
        <v/>
      </c>
      <c r="F7">
        <f>ROUND(E8*Inputs!C7,0)</f>
        <v/>
      </c>
      <c r="G7">
        <f>ROUND(F8*Inputs!C7,0)</f>
        <v/>
      </c>
    </row>
    <row r="8">
      <c r="A8" t="inlineStr">
        <is>
          <t>Active users (end of month)</t>
        </is>
      </c>
      <c r="B8">
        <f>B5+B6-B7</f>
        <v/>
      </c>
      <c r="C8">
        <f>B8+C6-C7</f>
        <v/>
      </c>
      <c r="D8">
        <f>C8+D6-D7</f>
        <v/>
      </c>
      <c r="E8">
        <f>D8+E6-E7</f>
        <v/>
      </c>
      <c r="F8">
        <f>E8+F6-F7</f>
        <v/>
      </c>
      <c r="G8">
        <f>F8+G6-G7</f>
        <v/>
      </c>
    </row>
    <row r="9">
      <c r="A9" t="inlineStr">
        <is>
          <t>Cumulative users (all-time)</t>
        </is>
      </c>
      <c r="B9">
        <f>B5+B6</f>
        <v/>
      </c>
      <c r="C9">
        <f>B9+C6</f>
        <v/>
      </c>
      <c r="D9">
        <f>C9+D6</f>
        <v/>
      </c>
      <c r="E9">
        <f>D9+E6</f>
        <v/>
      </c>
      <c r="F9">
        <f>E9+F6</f>
        <v/>
      </c>
      <c r="G9">
        <f>F9+G6</f>
        <v/>
      </c>
    </row>
    <row r="11">
      <c r="A11" t="inlineStr">
        <is>
          <t>Channel: Student Groups</t>
        </is>
      </c>
    </row>
    <row r="12">
      <c r="A12" t="inlineStr">
        <is>
          <t>Metric</t>
        </is>
      </c>
      <c r="B12" t="inlineStr">
        <is>
          <t>Month 1</t>
        </is>
      </c>
      <c r="C12" t="inlineStr">
        <is>
          <t>Month 2</t>
        </is>
      </c>
      <c r="D12" t="inlineStr">
        <is>
          <t>Month 3</t>
        </is>
      </c>
      <c r="E12" t="inlineStr">
        <is>
          <t>Month 4</t>
        </is>
      </c>
      <c r="F12" t="inlineStr">
        <is>
          <t>Month 5</t>
        </is>
      </c>
      <c r="G12" t="inlineStr">
        <is>
          <t>Month 6</t>
        </is>
      </c>
    </row>
    <row r="13">
      <c r="A13" t="inlineStr">
        <is>
          <t>Starting users</t>
        </is>
      </c>
      <c r="B13">
        <f>Inputs!C16</f>
        <v/>
      </c>
    </row>
    <row r="14">
      <c r="A14" t="inlineStr">
        <is>
          <t>New users (inflow)</t>
        </is>
      </c>
      <c r="B14">
        <f>Inputs!C18</f>
        <v/>
      </c>
      <c r="C14">
        <f>Inputs!C19</f>
        <v/>
      </c>
      <c r="D14">
        <f>Inputs!C20</f>
        <v/>
      </c>
      <c r="E14">
        <f>Inputs!C21</f>
        <v/>
      </c>
      <c r="F14">
        <f>Inputs!C22</f>
        <v/>
      </c>
      <c r="G14">
        <f>Inputs!C23</f>
        <v/>
      </c>
    </row>
    <row r="15">
      <c r="A15" t="inlineStr">
        <is>
          <t>Churned users (outflow = active × churn rate)</t>
        </is>
      </c>
      <c r="B15">
        <f>ROUND(B13*Inputs!C17,0)</f>
        <v/>
      </c>
      <c r="C15">
        <f>ROUND(B16*Inputs!C17,0)</f>
        <v/>
      </c>
      <c r="D15">
        <f>ROUND(C16*Inputs!C17,0)</f>
        <v/>
      </c>
      <c r="E15">
        <f>ROUND(D16*Inputs!C17,0)</f>
        <v/>
      </c>
      <c r="F15">
        <f>ROUND(E16*Inputs!C17,0)</f>
        <v/>
      </c>
      <c r="G15">
        <f>ROUND(F16*Inputs!C17,0)</f>
        <v/>
      </c>
    </row>
    <row r="16">
      <c r="A16" t="inlineStr">
        <is>
          <t>Active users (end of month)</t>
        </is>
      </c>
      <c r="B16">
        <f>B13+B14-B15</f>
        <v/>
      </c>
      <c r="C16">
        <f>B16+C14-C15</f>
        <v/>
      </c>
      <c r="D16">
        <f>C16+D14-D15</f>
        <v/>
      </c>
      <c r="E16">
        <f>D16+E14-E15</f>
        <v/>
      </c>
      <c r="F16">
        <f>E16+F14-F15</f>
        <v/>
      </c>
      <c r="G16">
        <f>F16+G14-G15</f>
        <v/>
      </c>
    </row>
    <row r="17">
      <c r="A17" t="inlineStr">
        <is>
          <t>Cumulative users (all-time)</t>
        </is>
      </c>
      <c r="B17">
        <f>B13+B14</f>
        <v/>
      </c>
      <c r="C17">
        <f>B17+C14</f>
        <v/>
      </c>
      <c r="D17">
        <f>C17+D14</f>
        <v/>
      </c>
      <c r="E17">
        <f>D17+E14</f>
        <v/>
      </c>
      <c r="F17">
        <f>E17+F14</f>
        <v/>
      </c>
      <c r="G17">
        <f>F17+G14</f>
        <v/>
      </c>
    </row>
    <row r="19">
      <c r="A19" t="inlineStr">
        <is>
          <t>Channel: Referral</t>
        </is>
      </c>
    </row>
    <row r="20">
      <c r="A20" t="inlineStr">
        <is>
          <t>Metric</t>
        </is>
      </c>
      <c r="B20" t="inlineStr">
        <is>
          <t>Month 1</t>
        </is>
      </c>
      <c r="C20" t="inlineStr">
        <is>
          <t>Month 2</t>
        </is>
      </c>
      <c r="D20" t="inlineStr">
        <is>
          <t>Month 3</t>
        </is>
      </c>
      <c r="E20" t="inlineStr">
        <is>
          <t>Month 4</t>
        </is>
      </c>
      <c r="F20" t="inlineStr">
        <is>
          <t>Month 5</t>
        </is>
      </c>
      <c r="G20" t="inlineStr">
        <is>
          <t>Month 6</t>
        </is>
      </c>
    </row>
    <row r="21">
      <c r="A21" t="inlineStr">
        <is>
          <t>Starting users</t>
        </is>
      </c>
      <c r="B21">
        <f>Inputs!C26</f>
        <v/>
      </c>
    </row>
    <row r="22">
      <c r="A22" t="inlineStr">
        <is>
          <t>New users (inflow)</t>
        </is>
      </c>
      <c r="B22">
        <f>Inputs!C28</f>
        <v/>
      </c>
      <c r="C22">
        <f>Inputs!C29</f>
        <v/>
      </c>
      <c r="D22">
        <f>Inputs!C30</f>
        <v/>
      </c>
      <c r="E22">
        <f>Inputs!C31</f>
        <v/>
      </c>
      <c r="F22">
        <f>Inputs!C32</f>
        <v/>
      </c>
      <c r="G22">
        <f>Inputs!C33</f>
        <v/>
      </c>
    </row>
    <row r="23">
      <c r="A23" t="inlineStr">
        <is>
          <t>Churned users (outflow = active × churn rate)</t>
        </is>
      </c>
      <c r="B23">
        <f>ROUND(B21*Inputs!C27,0)</f>
        <v/>
      </c>
      <c r="C23">
        <f>ROUND(B24*Inputs!C27,0)</f>
        <v/>
      </c>
      <c r="D23">
        <f>ROUND(C24*Inputs!C27,0)</f>
        <v/>
      </c>
      <c r="E23">
        <f>ROUND(D24*Inputs!C27,0)</f>
        <v/>
      </c>
      <c r="F23">
        <f>ROUND(E24*Inputs!C27,0)</f>
        <v/>
      </c>
      <c r="G23">
        <f>ROUND(F24*Inputs!C27,0)</f>
        <v/>
      </c>
    </row>
    <row r="24">
      <c r="A24" t="inlineStr">
        <is>
          <t>Active users (end of month)</t>
        </is>
      </c>
      <c r="B24">
        <f>B21+B22-B23</f>
        <v/>
      </c>
      <c r="C24">
        <f>B24+C22-C23</f>
        <v/>
      </c>
      <c r="D24">
        <f>C24+D22-D23</f>
        <v/>
      </c>
      <c r="E24">
        <f>D24+E22-E23</f>
        <v/>
      </c>
      <c r="F24">
        <f>E24+F22-F23</f>
        <v/>
      </c>
      <c r="G24">
        <f>F24+G22-G23</f>
        <v/>
      </c>
    </row>
    <row r="25">
      <c r="A25" t="inlineStr">
        <is>
          <t>Cumulative users (all-time)</t>
        </is>
      </c>
      <c r="B25">
        <f>B21+B22</f>
        <v/>
      </c>
      <c r="C25">
        <f>B25+C22</f>
        <v/>
      </c>
      <c r="D25">
        <f>C25+D22</f>
        <v/>
      </c>
      <c r="E25">
        <f>D25+E22</f>
        <v/>
      </c>
      <c r="F25">
        <f>E25+F22</f>
        <v/>
      </c>
      <c r="G25">
        <f>F25+G22</f>
        <v/>
      </c>
    </row>
    <row r="27">
      <c r="A27" t="inlineStr">
        <is>
          <t>── GRAND TOTAL ──</t>
        </is>
      </c>
    </row>
    <row r="28">
      <c r="A28" t="inlineStr">
        <is>
          <t>Active users (all channels combined)</t>
        </is>
      </c>
      <c r="B28">
        <f>B8+B16+B24</f>
        <v/>
      </c>
      <c r="C28">
        <f>C8+C16+C24</f>
        <v/>
      </c>
      <c r="D28">
        <f>D8+D16+D24</f>
        <v/>
      </c>
      <c r="E28">
        <f>E8+E16+E24</f>
        <v/>
      </c>
      <c r="F28">
        <f>F8+F16+F24</f>
        <v/>
      </c>
      <c r="G28">
        <f>G8+G16+G24</f>
        <v/>
      </c>
    </row>
    <row r="29">
      <c r="A29" t="inlineStr">
        <is>
          <t>Cumulative users (all channels)</t>
        </is>
      </c>
      <c r="B29">
        <f>B9+B17+B25</f>
        <v/>
      </c>
      <c r="C29">
        <f>C9+C17+C25</f>
        <v/>
      </c>
      <c r="D29">
        <f>D9+D17+D25</f>
        <v/>
      </c>
      <c r="E29">
        <f>E9+E17+E25</f>
        <v/>
      </c>
      <c r="F29">
        <f>F9+F17+F25</f>
        <v/>
      </c>
      <c r="G29">
        <f>G9+G17+G25</f>
        <v/>
      </c>
    </row>
    <row r="31">
      <c r="A31" t="inlineStr">
        <is>
          <t>Conversion Rate Assumptions</t>
        </is>
      </c>
    </row>
    <row r="32">
      <c r="A32" t="inlineStr">
        <is>
          <t>Channel</t>
        </is>
      </c>
      <c r="B32" t="inlineStr">
        <is>
          <t>Monthly Churn Rate</t>
        </is>
      </c>
      <c r="C32" t="inlineStr">
        <is>
          <t>Equivalent Monthly Retention</t>
        </is>
      </c>
    </row>
    <row r="33">
      <c r="A33" t="inlineStr">
        <is>
          <t>QR Flyers</t>
        </is>
      </c>
      <c r="B33">
        <f>Inputs!C7</f>
        <v/>
      </c>
      <c r="C33">
        <f>1-B33</f>
        <v/>
      </c>
    </row>
    <row r="34">
      <c r="A34" t="inlineStr">
        <is>
          <t>Student Groups</t>
        </is>
      </c>
      <c r="B34">
        <f>Inputs!C17</f>
        <v/>
      </c>
      <c r="C34">
        <f>1-B34</f>
        <v/>
      </c>
    </row>
    <row r="35">
      <c r="A35" t="inlineStr">
        <is>
          <t>Referral</t>
        </is>
      </c>
      <c r="B35">
        <f>Inputs!C27</f>
        <v/>
      </c>
      <c r="C35">
        <f>1-B35</f>
        <v/>
      </c>
    </row>
    <row r="37">
      <c r="A37" t="inlineStr">
        <is>
          <t>Note: Conversion rates are modelled as monthly retention = 1 - churn_rate.</t>
        </is>
      </c>
    </row>
    <row r="38">
      <c r="A38" t="inlineStr">
        <is>
          <t>New users added at start of month. Churn applied to active users at end of month.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8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2.83203125" customWidth="1" min="6" max="6"/>
    <col width="12.83203125" customWidth="1" min="7" max="7"/>
  </cols>
  <sheetData>
    <row r="1">
      <c r="A1" t="inlineStr">
        <is>
          <t>Best Case — 6-Month Growth Projection</t>
        </is>
      </c>
    </row>
    <row r="3">
      <c r="A3" t="inlineStr">
        <is>
          <t>Channel: QR Flyers</t>
        </is>
      </c>
    </row>
    <row r="4">
      <c r="A4" t="inlineStr">
        <is>
          <t>Metric</t>
        </is>
      </c>
      <c r="B4" t="inlineStr">
        <is>
          <t>Month 1</t>
        </is>
      </c>
      <c r="C4" t="inlineStr">
        <is>
          <t>Month 2</t>
        </is>
      </c>
      <c r="D4" t="inlineStr">
        <is>
          <t>Month 3</t>
        </is>
      </c>
      <c r="E4" t="inlineStr">
        <is>
          <t>Month 4</t>
        </is>
      </c>
      <c r="F4" t="inlineStr">
        <is>
          <t>Month 5</t>
        </is>
      </c>
      <c r="G4" t="inlineStr">
        <is>
          <t>Month 6</t>
        </is>
      </c>
    </row>
    <row r="5">
      <c r="A5" t="inlineStr">
        <is>
          <t>Starting users</t>
        </is>
      </c>
      <c r="B5">
        <f>Inputs!D6</f>
        <v/>
      </c>
    </row>
    <row r="6">
      <c r="A6" t="inlineStr">
        <is>
          <t>New users (inflow)</t>
        </is>
      </c>
      <c r="B6">
        <f>Inputs!D8</f>
        <v/>
      </c>
      <c r="C6">
        <f>Inputs!D9</f>
        <v/>
      </c>
      <c r="D6">
        <f>Inputs!D10</f>
        <v/>
      </c>
      <c r="E6">
        <f>Inputs!D11</f>
        <v/>
      </c>
      <c r="F6">
        <f>Inputs!D12</f>
        <v/>
      </c>
      <c r="G6">
        <f>Inputs!D13</f>
        <v/>
      </c>
    </row>
    <row r="7">
      <c r="A7" t="inlineStr">
        <is>
          <t>Churned users (outflow = active × churn rate)</t>
        </is>
      </c>
      <c r="B7">
        <f>ROUND(B5*Inputs!D7,0)</f>
        <v/>
      </c>
      <c r="C7">
        <f>ROUND(B8*Inputs!D7,0)</f>
        <v/>
      </c>
      <c r="D7">
        <f>ROUND(C8*Inputs!D7,0)</f>
        <v/>
      </c>
      <c r="E7">
        <f>ROUND(D8*Inputs!D7,0)</f>
        <v/>
      </c>
      <c r="F7">
        <f>ROUND(E8*Inputs!D7,0)</f>
        <v/>
      </c>
      <c r="G7">
        <f>ROUND(F8*Inputs!D7,0)</f>
        <v/>
      </c>
    </row>
    <row r="8">
      <c r="A8" t="inlineStr">
        <is>
          <t>Active users (end of month)</t>
        </is>
      </c>
      <c r="B8">
        <f>B5+B6-B7</f>
        <v/>
      </c>
      <c r="C8">
        <f>B8+C6-C7</f>
        <v/>
      </c>
      <c r="D8">
        <f>C8+D6-D7</f>
        <v/>
      </c>
      <c r="E8">
        <f>D8+E6-E7</f>
        <v/>
      </c>
      <c r="F8">
        <f>E8+F6-F7</f>
        <v/>
      </c>
      <c r="G8">
        <f>F8+G6-G7</f>
        <v/>
      </c>
    </row>
    <row r="9">
      <c r="A9" t="inlineStr">
        <is>
          <t>Cumulative users (all-time)</t>
        </is>
      </c>
      <c r="B9">
        <f>B5+B6</f>
        <v/>
      </c>
      <c r="C9">
        <f>B9+C6</f>
        <v/>
      </c>
      <c r="D9">
        <f>C9+D6</f>
        <v/>
      </c>
      <c r="E9">
        <f>D9+E6</f>
        <v/>
      </c>
      <c r="F9">
        <f>E9+F6</f>
        <v/>
      </c>
      <c r="G9">
        <f>F9+G6</f>
        <v/>
      </c>
    </row>
    <row r="11">
      <c r="A11" t="inlineStr">
        <is>
          <t>Channel: Student Groups</t>
        </is>
      </c>
    </row>
    <row r="12">
      <c r="A12" t="inlineStr">
        <is>
          <t>Metric</t>
        </is>
      </c>
      <c r="B12" t="inlineStr">
        <is>
          <t>Month 1</t>
        </is>
      </c>
      <c r="C12" t="inlineStr">
        <is>
          <t>Month 2</t>
        </is>
      </c>
      <c r="D12" t="inlineStr">
        <is>
          <t>Month 3</t>
        </is>
      </c>
      <c r="E12" t="inlineStr">
        <is>
          <t>Month 4</t>
        </is>
      </c>
      <c r="F12" t="inlineStr">
        <is>
          <t>Month 5</t>
        </is>
      </c>
      <c r="G12" t="inlineStr">
        <is>
          <t>Month 6</t>
        </is>
      </c>
    </row>
    <row r="13">
      <c r="A13" t="inlineStr">
        <is>
          <t>Starting users</t>
        </is>
      </c>
      <c r="B13">
        <f>Inputs!D16</f>
        <v/>
      </c>
    </row>
    <row r="14">
      <c r="A14" t="inlineStr">
        <is>
          <t>New users (inflow)</t>
        </is>
      </c>
      <c r="B14">
        <f>Inputs!D18</f>
        <v/>
      </c>
      <c r="C14">
        <f>Inputs!D19</f>
        <v/>
      </c>
      <c r="D14">
        <f>Inputs!D20</f>
        <v/>
      </c>
      <c r="E14">
        <f>Inputs!D21</f>
        <v/>
      </c>
      <c r="F14">
        <f>Inputs!D22</f>
        <v/>
      </c>
      <c r="G14">
        <f>Inputs!D23</f>
        <v/>
      </c>
    </row>
    <row r="15">
      <c r="A15" t="inlineStr">
        <is>
          <t>Churned users (outflow = active × churn rate)</t>
        </is>
      </c>
      <c r="B15">
        <f>ROUND(B13*Inputs!D17,0)</f>
        <v/>
      </c>
      <c r="C15">
        <f>ROUND(B16*Inputs!D17,0)</f>
        <v/>
      </c>
      <c r="D15">
        <f>ROUND(C16*Inputs!D17,0)</f>
        <v/>
      </c>
      <c r="E15">
        <f>ROUND(D16*Inputs!D17,0)</f>
        <v/>
      </c>
      <c r="F15">
        <f>ROUND(E16*Inputs!D17,0)</f>
        <v/>
      </c>
      <c r="G15">
        <f>ROUND(F16*Inputs!D17,0)</f>
        <v/>
      </c>
    </row>
    <row r="16">
      <c r="A16" t="inlineStr">
        <is>
          <t>Active users (end of month)</t>
        </is>
      </c>
      <c r="B16">
        <f>B13+B14-B15</f>
        <v/>
      </c>
      <c r="C16">
        <f>B16+C14-C15</f>
        <v/>
      </c>
      <c r="D16">
        <f>C16+D14-D15</f>
        <v/>
      </c>
      <c r="E16">
        <f>D16+E14-E15</f>
        <v/>
      </c>
      <c r="F16">
        <f>E16+F14-F15</f>
        <v/>
      </c>
      <c r="G16">
        <f>F16+G14-G15</f>
        <v/>
      </c>
    </row>
    <row r="17">
      <c r="A17" t="inlineStr">
        <is>
          <t>Cumulative users (all-time)</t>
        </is>
      </c>
      <c r="B17">
        <f>B13+B14</f>
        <v/>
      </c>
      <c r="C17">
        <f>B17+C14</f>
        <v/>
      </c>
      <c r="D17">
        <f>C17+D14</f>
        <v/>
      </c>
      <c r="E17">
        <f>D17+E14</f>
        <v/>
      </c>
      <c r="F17">
        <f>E17+F14</f>
        <v/>
      </c>
      <c r="G17">
        <f>F17+G14</f>
        <v/>
      </c>
    </row>
    <row r="19">
      <c r="A19" t="inlineStr">
        <is>
          <t>Channel: Referral</t>
        </is>
      </c>
    </row>
    <row r="20">
      <c r="A20" t="inlineStr">
        <is>
          <t>Metric</t>
        </is>
      </c>
      <c r="B20" t="inlineStr">
        <is>
          <t>Month 1</t>
        </is>
      </c>
      <c r="C20" t="inlineStr">
        <is>
          <t>Month 2</t>
        </is>
      </c>
      <c r="D20" t="inlineStr">
        <is>
          <t>Month 3</t>
        </is>
      </c>
      <c r="E20" t="inlineStr">
        <is>
          <t>Month 4</t>
        </is>
      </c>
      <c r="F20" t="inlineStr">
        <is>
          <t>Month 5</t>
        </is>
      </c>
      <c r="G20" t="inlineStr">
        <is>
          <t>Month 6</t>
        </is>
      </c>
    </row>
    <row r="21">
      <c r="A21" t="inlineStr">
        <is>
          <t>Starting users</t>
        </is>
      </c>
      <c r="B21">
        <f>Inputs!D26</f>
        <v/>
      </c>
    </row>
    <row r="22">
      <c r="A22" t="inlineStr">
        <is>
          <t>New users (inflow)</t>
        </is>
      </c>
      <c r="B22">
        <f>Inputs!D28</f>
        <v/>
      </c>
      <c r="C22">
        <f>Inputs!D29</f>
        <v/>
      </c>
      <c r="D22">
        <f>Inputs!D30</f>
        <v/>
      </c>
      <c r="E22">
        <f>Inputs!D31</f>
        <v/>
      </c>
      <c r="F22">
        <f>Inputs!D32</f>
        <v/>
      </c>
      <c r="G22">
        <f>Inputs!D33</f>
        <v/>
      </c>
    </row>
    <row r="23">
      <c r="A23" t="inlineStr">
        <is>
          <t>Churned users (outflow = active × churn rate)</t>
        </is>
      </c>
      <c r="B23">
        <f>ROUND(B21*Inputs!D27,0)</f>
        <v/>
      </c>
      <c r="C23">
        <f>ROUND(B24*Inputs!D27,0)</f>
        <v/>
      </c>
      <c r="D23">
        <f>ROUND(C24*Inputs!D27,0)</f>
        <v/>
      </c>
      <c r="E23">
        <f>ROUND(D24*Inputs!D27,0)</f>
        <v/>
      </c>
      <c r="F23">
        <f>ROUND(E24*Inputs!D27,0)</f>
        <v/>
      </c>
      <c r="G23">
        <f>ROUND(F24*Inputs!D27,0)</f>
        <v/>
      </c>
    </row>
    <row r="24">
      <c r="A24" t="inlineStr">
        <is>
          <t>Active users (end of month)</t>
        </is>
      </c>
      <c r="B24">
        <f>B21+B22-B23</f>
        <v/>
      </c>
      <c r="C24">
        <f>B24+C22-C23</f>
        <v/>
      </c>
      <c r="D24">
        <f>C24+D22-D23</f>
        <v/>
      </c>
      <c r="E24">
        <f>D24+E22-E23</f>
        <v/>
      </c>
      <c r="F24">
        <f>E24+F22-F23</f>
        <v/>
      </c>
      <c r="G24">
        <f>F24+G22-G23</f>
        <v/>
      </c>
    </row>
    <row r="25">
      <c r="A25" t="inlineStr">
        <is>
          <t>Cumulative users (all-time)</t>
        </is>
      </c>
      <c r="B25">
        <f>B21+B22</f>
        <v/>
      </c>
      <c r="C25">
        <f>B25+C22</f>
        <v/>
      </c>
      <c r="D25">
        <f>C25+D22</f>
        <v/>
      </c>
      <c r="E25">
        <f>D25+E22</f>
        <v/>
      </c>
      <c r="F25">
        <f>E25+F22</f>
        <v/>
      </c>
      <c r="G25">
        <f>F25+G22</f>
        <v/>
      </c>
    </row>
    <row r="27">
      <c r="A27" t="inlineStr">
        <is>
          <t>── GRAND TOTAL ──</t>
        </is>
      </c>
    </row>
    <row r="28">
      <c r="A28" t="inlineStr">
        <is>
          <t>Active users (all channels combined)</t>
        </is>
      </c>
      <c r="B28">
        <f>B8+B16+B24</f>
        <v/>
      </c>
      <c r="C28">
        <f>C8+C16+C24</f>
        <v/>
      </c>
      <c r="D28">
        <f>D8+D16+D24</f>
        <v/>
      </c>
      <c r="E28">
        <f>E8+E16+E24</f>
        <v/>
      </c>
      <c r="F28">
        <f>F8+F16+F24</f>
        <v/>
      </c>
      <c r="G28">
        <f>G8+G16+G24</f>
        <v/>
      </c>
    </row>
    <row r="29">
      <c r="A29" t="inlineStr">
        <is>
          <t>Cumulative users (all channels)</t>
        </is>
      </c>
      <c r="B29">
        <f>B9+B17+B25</f>
        <v/>
      </c>
      <c r="C29">
        <f>C9+C17+C25</f>
        <v/>
      </c>
      <c r="D29">
        <f>D9+D17+D25</f>
        <v/>
      </c>
      <c r="E29">
        <f>E9+E17+E25</f>
        <v/>
      </c>
      <c r="F29">
        <f>F9+F17+F25</f>
        <v/>
      </c>
      <c r="G29">
        <f>G9+G17+G25</f>
        <v/>
      </c>
    </row>
    <row r="31">
      <c r="A31" t="inlineStr">
        <is>
          <t>Conversion Rate Assumptions</t>
        </is>
      </c>
    </row>
    <row r="32">
      <c r="A32" t="inlineStr">
        <is>
          <t>Channel</t>
        </is>
      </c>
      <c r="B32" t="inlineStr">
        <is>
          <t>Monthly Churn Rate</t>
        </is>
      </c>
      <c r="C32" t="inlineStr">
        <is>
          <t>Equivalent Monthly Retention</t>
        </is>
      </c>
    </row>
    <row r="33">
      <c r="A33" t="inlineStr">
        <is>
          <t>QR Flyers</t>
        </is>
      </c>
      <c r="B33">
        <f>Inputs!D7</f>
        <v/>
      </c>
      <c r="C33">
        <f>1-B33</f>
        <v/>
      </c>
    </row>
    <row r="34">
      <c r="A34" t="inlineStr">
        <is>
          <t>Student Groups</t>
        </is>
      </c>
      <c r="B34">
        <f>Inputs!D17</f>
        <v/>
      </c>
      <c r="C34">
        <f>1-B34</f>
        <v/>
      </c>
    </row>
    <row r="35">
      <c r="A35" t="inlineStr">
        <is>
          <t>Referral</t>
        </is>
      </c>
      <c r="B35">
        <f>Inputs!D27</f>
        <v/>
      </c>
      <c r="C35">
        <f>1-B35</f>
        <v/>
      </c>
    </row>
    <row r="37">
      <c r="A37" t="inlineStr">
        <is>
          <t>Note: Conversion rates are modelled as monthly retention = 1 - churn_rate.</t>
        </is>
      </c>
    </row>
    <row r="38">
      <c r="A38" t="inlineStr">
        <is>
          <t>New users added at start of month. Churn applied to active users at end of month.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8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2.83203125" customWidth="1" min="6" max="6"/>
    <col width="12.83203125" customWidth="1" min="7" max="7"/>
  </cols>
  <sheetData>
    <row r="1">
      <c r="A1" t="inlineStr">
        <is>
          <t>6-Month Growth Projection — Summary</t>
        </is>
      </c>
    </row>
    <row r="2">
      <c r="A2" t="inlineStr">
        <is>
          <t>Bandersnatch — Bus #3 Real-Time Tracker</t>
        </is>
      </c>
    </row>
    <row r="3">
      <c r="A3" t="inlineStr">
        <is>
          <t>Date: May 13, 2026</t>
        </is>
      </c>
    </row>
    <row r="5">
      <c r="A5" t="inlineStr">
        <is>
          <t>CUMULATIVE USERS (All Channels)</t>
        </is>
      </c>
    </row>
    <row r="6">
      <c r="A6" t="inlineStr">
        <is>
          <t>Month</t>
        </is>
      </c>
      <c r="B6" t="inlineStr">
        <is>
          <t>Month 1</t>
        </is>
      </c>
      <c r="C6" t="inlineStr">
        <is>
          <t>Month 2</t>
        </is>
      </c>
      <c r="D6" t="inlineStr">
        <is>
          <t>Month 3</t>
        </is>
      </c>
      <c r="E6" t="inlineStr">
        <is>
          <t>Month 4</t>
        </is>
      </c>
      <c r="F6" t="inlineStr">
        <is>
          <t>Month 5</t>
        </is>
      </c>
      <c r="G6" t="inlineStr">
        <is>
          <t>Month 6</t>
        </is>
      </c>
    </row>
    <row r="7">
      <c r="A7" t="inlineStr">
        <is>
          <t>Worst Case</t>
        </is>
      </c>
      <c r="B7">
        <f>'Worst'!B29</f>
        <v/>
      </c>
      <c r="C7">
        <f>'Worst'!C29</f>
        <v/>
      </c>
      <c r="D7">
        <f>'Worst'!D29</f>
        <v/>
      </c>
      <c r="E7">
        <f>'Worst'!E29</f>
        <v/>
      </c>
      <c r="F7">
        <f>'Worst'!F29</f>
        <v/>
      </c>
      <c r="G7">
        <f>'Worst'!G29</f>
        <v/>
      </c>
    </row>
    <row r="8">
      <c r="A8" t="inlineStr">
        <is>
          <t>Expected Case</t>
        </is>
      </c>
      <c r="B8">
        <f>'Expected'!B29</f>
        <v/>
      </c>
      <c r="C8">
        <f>'Expected'!C29</f>
        <v/>
      </c>
      <c r="D8">
        <f>'Expected'!D29</f>
        <v/>
      </c>
      <c r="E8">
        <f>'Expected'!E29</f>
        <v/>
      </c>
      <c r="F8">
        <f>'Expected'!F29</f>
        <v/>
      </c>
      <c r="G8">
        <f>'Expected'!G29</f>
        <v/>
      </c>
    </row>
    <row r="9">
      <c r="A9" t="inlineStr">
        <is>
          <t>Best Case</t>
        </is>
      </c>
      <c r="B9">
        <f>'Best'!B29</f>
        <v/>
      </c>
      <c r="C9">
        <f>'Best'!C29</f>
        <v/>
      </c>
      <c r="D9">
        <f>'Best'!D29</f>
        <v/>
      </c>
      <c r="E9">
        <f>'Best'!E29</f>
        <v/>
      </c>
      <c r="F9">
        <f>'Best'!F29</f>
        <v/>
      </c>
      <c r="G9">
        <f>'Best'!G29</f>
        <v/>
      </c>
    </row>
    <row r="11">
      <c r="A11" t="inlineStr">
        <is>
          <t>ACTIVE USERS (End of Month)</t>
        </is>
      </c>
    </row>
    <row r="12">
      <c r="A12" t="inlineStr">
        <is>
          <t>Month</t>
        </is>
      </c>
      <c r="B12" t="inlineStr">
        <is>
          <t>Month 1</t>
        </is>
      </c>
      <c r="C12" t="inlineStr">
        <is>
          <t>Month 2</t>
        </is>
      </c>
      <c r="D12" t="inlineStr">
        <is>
          <t>Month 3</t>
        </is>
      </c>
      <c r="E12" t="inlineStr">
        <is>
          <t>Month 4</t>
        </is>
      </c>
      <c r="F12" t="inlineStr">
        <is>
          <t>Month 5</t>
        </is>
      </c>
      <c r="G12" t="inlineStr">
        <is>
          <t>Month 6</t>
        </is>
      </c>
    </row>
    <row r="13">
      <c r="A13" t="inlineStr">
        <is>
          <t>Worst Case</t>
        </is>
      </c>
      <c r="B13">
        <f>'Worst'!B28</f>
        <v/>
      </c>
      <c r="C13">
        <f>'Worst'!C28</f>
        <v/>
      </c>
      <c r="D13">
        <f>'Worst'!D28</f>
        <v/>
      </c>
      <c r="E13">
        <f>'Worst'!E28</f>
        <v/>
      </c>
      <c r="F13">
        <f>'Worst'!F28</f>
        <v/>
      </c>
      <c r="G13">
        <f>'Worst'!G28</f>
        <v/>
      </c>
    </row>
    <row r="14">
      <c r="A14" t="inlineStr">
        <is>
          <t>Expected Case</t>
        </is>
      </c>
      <c r="B14">
        <f>'Expected'!B28</f>
        <v/>
      </c>
      <c r="C14">
        <f>'Expected'!C28</f>
        <v/>
      </c>
      <c r="D14">
        <f>'Expected'!D28</f>
        <v/>
      </c>
      <c r="E14">
        <f>'Expected'!E28</f>
        <v/>
      </c>
      <c r="F14">
        <f>'Expected'!F28</f>
        <v/>
      </c>
      <c r="G14">
        <f>'Expected'!G28</f>
        <v/>
      </c>
    </row>
    <row r="15">
      <c r="A15" t="inlineStr">
        <is>
          <t>Best Case</t>
        </is>
      </c>
      <c r="B15">
        <f>'Best'!B28</f>
        <v/>
      </c>
      <c r="C15">
        <f>'Best'!C28</f>
        <v/>
      </c>
      <c r="D15">
        <f>'Best'!D28</f>
        <v/>
      </c>
      <c r="E15">
        <f>'Best'!E28</f>
        <v/>
      </c>
      <c r="F15">
        <f>'Best'!F28</f>
        <v/>
      </c>
      <c r="G15">
        <f>'Best'!G28</f>
        <v/>
      </c>
    </row>
    <row r="17">
      <c r="A17" t="inlineStr">
        <is>
          <t>CHANNEL BREAKDOWN — Expected Case</t>
        </is>
      </c>
    </row>
    <row r="18">
      <c r="A18" t="inlineStr">
        <is>
          <t>Month</t>
        </is>
      </c>
      <c r="B18" t="inlineStr">
        <is>
          <t>Month 1</t>
        </is>
      </c>
      <c r="C18" t="inlineStr">
        <is>
          <t>Month 2</t>
        </is>
      </c>
      <c r="D18" t="inlineStr">
        <is>
          <t>Month 3</t>
        </is>
      </c>
      <c r="E18" t="inlineStr">
        <is>
          <t>Month 4</t>
        </is>
      </c>
      <c r="F18" t="inlineStr">
        <is>
          <t>Month 5</t>
        </is>
      </c>
      <c r="G18" t="inlineStr">
        <is>
          <t>Month 6</t>
        </is>
      </c>
    </row>
    <row r="19">
      <c r="A19" t="inlineStr">
        <is>
          <t>QR Flyers cumulative</t>
        </is>
      </c>
      <c r="B19">
        <f>Expected!B9</f>
        <v/>
      </c>
      <c r="C19">
        <f>Expected!C9</f>
        <v/>
      </c>
      <c r="D19">
        <f>Expected!D9</f>
        <v/>
      </c>
      <c r="E19">
        <f>Expected!E9</f>
        <v/>
      </c>
      <c r="F19">
        <f>Expected!F9</f>
        <v/>
      </c>
      <c r="G19">
        <f>Expected!G9</f>
        <v/>
      </c>
    </row>
    <row r="20">
      <c r="A20" t="inlineStr">
        <is>
          <t>Student Groups cumulative</t>
        </is>
      </c>
      <c r="B20">
        <f>Expected!B17</f>
        <v/>
      </c>
      <c r="C20">
        <f>Expected!C17</f>
        <v/>
      </c>
      <c r="D20">
        <f>Expected!D17</f>
        <v/>
      </c>
      <c r="E20">
        <f>Expected!E17</f>
        <v/>
      </c>
      <c r="F20">
        <f>Expected!F17</f>
        <v/>
      </c>
      <c r="G20">
        <f>Expected!G17</f>
        <v/>
      </c>
    </row>
    <row r="21">
      <c r="A21" t="inlineStr">
        <is>
          <t>Referral cumulative</t>
        </is>
      </c>
      <c r="B21">
        <f>Expected!B25</f>
        <v/>
      </c>
      <c r="C21">
        <f>Expected!C25</f>
        <v/>
      </c>
      <c r="D21">
        <f>Expected!D25</f>
        <v/>
      </c>
      <c r="E21">
        <f>Expected!E25</f>
        <v/>
      </c>
      <c r="F21">
        <f>Expected!F25</f>
        <v/>
      </c>
      <c r="G21">
        <f>Expected!G25</f>
        <v/>
      </c>
    </row>
    <row r="23">
      <c r="A23" t="inlineStr">
        <is>
          <t>ASSUMPTIONS</t>
        </is>
      </c>
    </row>
    <row r="24">
      <c r="A24" t="inlineStr">
        <is>
          <t>Channel</t>
        </is>
      </c>
      <c r="B24" t="inlineStr">
        <is>
          <t>Start Users (Expected)</t>
        </is>
      </c>
      <c r="C24" t="inlineStr">
        <is>
          <t>Monthly Churn Rate</t>
        </is>
      </c>
      <c r="D24" t="inlineStr">
        <is>
          <t>Monthly New Users Range</t>
        </is>
      </c>
    </row>
    <row r="25">
      <c r="A25" t="inlineStr">
        <is>
          <t>QR Flyers</t>
        </is>
      </c>
      <c r="B25" t="n">
        <v>35</v>
      </c>
      <c r="C25" t="n">
        <v>0.4</v>
      </c>
      <c r="D25" t="inlineStr">
        <is>
          <t>10 – 30</t>
        </is>
      </c>
    </row>
    <row r="26">
      <c r="A26" t="inlineStr">
        <is>
          <t>Student Groups</t>
        </is>
      </c>
      <c r="B26" t="n">
        <v>30</v>
      </c>
      <c r="C26" t="n">
        <v>0.45</v>
      </c>
      <c r="D26" t="inlineStr">
        <is>
          <t>3 – 40</t>
        </is>
      </c>
    </row>
    <row r="27">
      <c r="A27" t="inlineStr">
        <is>
          <t>Referral</t>
        </is>
      </c>
      <c r="B27" t="n">
        <v>0</v>
      </c>
      <c r="C27" t="n">
        <v>0.3</v>
      </c>
      <c r="D27" t="inlineStr">
        <is>
          <t>5 – 55</t>
        </is>
      </c>
    </row>
    <row r="29">
      <c r="A29" t="inlineStr">
        <is>
          <t>Note: Best and worst cases use different churn rates and new user counts per channel.</t>
        </is>
      </c>
    </row>
    <row r="30">
      <c r="A30" t="inlineStr">
        <is>
          <t>Worst case assumes higher churn and lower acquisition. Best case assumes lower churn and higher acquisition.</t>
        </is>
      </c>
    </row>
    <row r="31">
      <c r="A31" t="inlineStr">
        <is>
          <t>See individual scenario sheets for full per-channel, per-month breakdowns.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2.83203125" customWidth="1" min="1" max="1"/>
    <col width="14.83203125" customWidth="1" min="2" max="2"/>
    <col width="14.83203125" customWidth="1" min="3" max="3"/>
    <col width="14.83203125" customWidth="1" min="4" max="4"/>
  </cols>
  <sheetData>
    <row r="1">
      <c r="A1" t="inlineStr">
        <is>
          <t>Month</t>
        </is>
      </c>
      <c r="B1" t="inlineStr">
        <is>
          <t>Worst Case</t>
        </is>
      </c>
      <c r="C1" t="inlineStr">
        <is>
          <t>Expected Case</t>
        </is>
      </c>
      <c r="D1" t="inlineStr">
        <is>
          <t>Best Case</t>
        </is>
      </c>
    </row>
    <row r="2">
      <c r="A2" t="inlineStr">
        <is>
          <t>Month 1</t>
        </is>
      </c>
      <c r="B2">
        <f>Summary!B7</f>
        <v/>
      </c>
      <c r="C2">
        <f>Summary!C7</f>
        <v/>
      </c>
      <c r="D2">
        <f>Summary!D7</f>
        <v/>
      </c>
      <c r="E2">
        <f>Summary!E7</f>
        <v/>
      </c>
      <c r="F2">
        <f>Summary!F7</f>
        <v/>
      </c>
      <c r="G2">
        <f>Summary!G7</f>
        <v/>
      </c>
    </row>
    <row r="3">
      <c r="A3" t="inlineStr">
        <is>
          <t>Month 2</t>
        </is>
      </c>
      <c r="B3">
        <f>Summary!B8</f>
        <v/>
      </c>
      <c r="C3">
        <f>Summary!C8</f>
        <v/>
      </c>
      <c r="D3">
        <f>Summary!D8</f>
        <v/>
      </c>
      <c r="E3">
        <f>Summary!E8</f>
        <v/>
      </c>
      <c r="F3">
        <f>Summary!F8</f>
        <v/>
      </c>
      <c r="G3">
        <f>Summary!G8</f>
        <v/>
      </c>
    </row>
    <row r="4">
      <c r="A4" t="inlineStr">
        <is>
          <t>Month 3</t>
        </is>
      </c>
      <c r="B4">
        <f>Summary!B9</f>
        <v/>
      </c>
      <c r="C4">
        <f>Summary!C9</f>
        <v/>
      </c>
      <c r="D4">
        <f>Summary!D9</f>
        <v/>
      </c>
      <c r="E4">
        <f>Summary!E9</f>
        <v/>
      </c>
      <c r="F4">
        <f>Summary!F9</f>
        <v/>
      </c>
      <c r="G4">
        <f>Summary!G9</f>
        <v/>
      </c>
    </row>
    <row r="5">
      <c r="A5" t="inlineStr">
        <is>
          <t>Month 4</t>
        </is>
      </c>
      <c r="B5" t="n">
        <v>130</v>
      </c>
      <c r="C5" t="n">
        <v>306</v>
      </c>
      <c r="D5" t="n">
        <v>565</v>
      </c>
    </row>
    <row r="6">
      <c r="A6" t="inlineStr">
        <is>
          <t>Month 5</t>
        </is>
      </c>
      <c r="B6" t="n">
        <v>143</v>
      </c>
      <c r="C6" t="n">
        <v>363</v>
      </c>
      <c r="D6" t="n">
        <v>710</v>
      </c>
    </row>
    <row r="7">
      <c r="A7" t="inlineStr">
        <is>
          <t>Month 6</t>
        </is>
      </c>
      <c r="B7" t="n">
        <v>156</v>
      </c>
      <c r="C7" t="n">
        <v>431</v>
      </c>
      <c r="D7" t="n">
        <v>885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2026-06-10T19:13:28Z</dcterms:created>
  <dcterms:modified xsi:type="dcterms:W3CDTF">2026-06-10T19:14:56Z</dcterms:modified>
</cp:coreProperties>
</file>